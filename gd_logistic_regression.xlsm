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raneethkumarpalepu/Documents/machine_learning/AIML_Classes/"/>
    </mc:Choice>
  </mc:AlternateContent>
  <xr:revisionPtr revIDLastSave="0" documentId="13_ncr:1_{D1DD203B-F86B-8F4A-96CF-70907090F42B}" xr6:coauthVersionLast="47" xr6:coauthVersionMax="47" xr10:uidLastSave="{00000000-0000-0000-0000-000000000000}"/>
  <bookViews>
    <workbookView xWindow="0" yWindow="0" windowWidth="28800" windowHeight="18000" xr2:uid="{5FB7037E-070F-2945-A934-3D92CD551408}"/>
  </bookViews>
  <sheets>
    <sheet name="Sheet1" sheetId="1" r:id="rId1"/>
    <sheet name="Sheet2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0" i="1" l="1"/>
  <c r="L11" i="1"/>
  <c r="L9" i="1"/>
  <c r="F14" i="2"/>
  <c r="F13" i="2"/>
  <c r="E4" i="1"/>
  <c r="F4" i="1" s="1"/>
  <c r="H4" i="1" s="1"/>
  <c r="I4" i="1" s="1"/>
  <c r="E6" i="1"/>
  <c r="F6" i="1" s="1"/>
  <c r="H6" i="1" s="1"/>
  <c r="I6" i="1" s="1"/>
  <c r="E2" i="1"/>
  <c r="F2" i="1" s="1"/>
  <c r="H2" i="1" s="1"/>
  <c r="I2" i="1" s="1"/>
  <c r="C3" i="1"/>
  <c r="E3" i="1" s="1"/>
  <c r="F3" i="1" s="1"/>
  <c r="H3" i="1" s="1"/>
  <c r="I3" i="1" s="1"/>
  <c r="C4" i="1"/>
  <c r="C5" i="1"/>
  <c r="E5" i="1" s="1"/>
  <c r="F5" i="1" s="1"/>
  <c r="H5" i="1" s="1"/>
  <c r="I5" i="1" s="1"/>
  <c r="C6" i="1"/>
  <c r="C7" i="1"/>
  <c r="E7" i="1" s="1"/>
  <c r="F7" i="1" s="1"/>
  <c r="H7" i="1" s="1"/>
  <c r="I7" i="1" s="1"/>
  <c r="C8" i="1"/>
  <c r="E8" i="1" s="1"/>
  <c r="F8" i="1" s="1"/>
  <c r="H8" i="1" s="1"/>
  <c r="I8" i="1" s="1"/>
  <c r="C9" i="1"/>
  <c r="E9" i="1" s="1"/>
  <c r="F9" i="1" s="1"/>
  <c r="H9" i="1" s="1"/>
  <c r="I9" i="1" s="1"/>
  <c r="C10" i="1"/>
  <c r="E10" i="1" s="1"/>
  <c r="F10" i="1" s="1"/>
  <c r="G10" i="1" s="1"/>
  <c r="C11" i="1"/>
  <c r="E11" i="1" s="1"/>
  <c r="F11" i="1" s="1"/>
  <c r="G11" i="1" s="1"/>
  <c r="C12" i="1"/>
  <c r="E12" i="1" s="1"/>
  <c r="F12" i="1" s="1"/>
  <c r="H12" i="1" s="1"/>
  <c r="I12" i="1" s="1"/>
  <c r="C13" i="1"/>
  <c r="E13" i="1" s="1"/>
  <c r="F13" i="1" s="1"/>
  <c r="H13" i="1" s="1"/>
  <c r="I13" i="1" s="1"/>
  <c r="C14" i="1"/>
  <c r="E14" i="1" s="1"/>
  <c r="F14" i="1" s="1"/>
  <c r="H14" i="1" s="1"/>
  <c r="I14" i="1" s="1"/>
  <c r="C15" i="1"/>
  <c r="E15" i="1" s="1"/>
  <c r="F15" i="1" s="1"/>
  <c r="H15" i="1" s="1"/>
  <c r="I15" i="1" s="1"/>
  <c r="C16" i="1"/>
  <c r="E16" i="1" s="1"/>
  <c r="F16" i="1" s="1"/>
  <c r="H16" i="1" s="1"/>
  <c r="I16" i="1" s="1"/>
  <c r="C17" i="1"/>
  <c r="E17" i="1" s="1"/>
  <c r="F17" i="1" s="1"/>
  <c r="H17" i="1" s="1"/>
  <c r="I17" i="1" s="1"/>
  <c r="C18" i="1"/>
  <c r="E18" i="1" s="1"/>
  <c r="F18" i="1" s="1"/>
  <c r="G18" i="1" s="1"/>
  <c r="C19" i="1"/>
  <c r="E19" i="1" s="1"/>
  <c r="F19" i="1" s="1"/>
  <c r="G19" i="1" s="1"/>
  <c r="C20" i="1"/>
  <c r="E20" i="1" s="1"/>
  <c r="F20" i="1" s="1"/>
  <c r="H20" i="1" s="1"/>
  <c r="I20" i="1" s="1"/>
  <c r="C21" i="1"/>
  <c r="E21" i="1" s="1"/>
  <c r="F21" i="1" s="1"/>
  <c r="H21" i="1" s="1"/>
  <c r="I21" i="1" s="1"/>
  <c r="C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" i="1"/>
  <c r="H19" i="1" l="1"/>
  <c r="I19" i="1" s="1"/>
  <c r="H11" i="1"/>
  <c r="I11" i="1" s="1"/>
  <c r="H18" i="1"/>
  <c r="I18" i="1" s="1"/>
  <c r="H10" i="1"/>
  <c r="I10" i="1" s="1"/>
  <c r="G2" i="1"/>
  <c r="G3" i="1"/>
  <c r="G6" i="1"/>
  <c r="G14" i="1"/>
  <c r="G21" i="1"/>
  <c r="G13" i="1"/>
  <c r="G5" i="1"/>
  <c r="G20" i="1"/>
  <c r="G12" i="1"/>
  <c r="G4" i="1"/>
  <c r="G17" i="1"/>
  <c r="G9" i="1"/>
  <c r="G16" i="1"/>
  <c r="G8" i="1"/>
  <c r="G15" i="1"/>
  <c r="G7" i="1"/>
  <c r="O2" i="1" l="1"/>
  <c r="M5" i="1" s="1"/>
  <c r="N2" i="1"/>
  <c r="L5" i="1" s="1"/>
  <c r="K2" i="1"/>
  <c r="M11" i="1" l="1"/>
  <c r="N11" i="1" s="1"/>
  <c r="M9" i="1"/>
  <c r="N9" i="1" s="1"/>
  <c r="M10" i="1"/>
  <c r="N10" i="1" s="1"/>
</calcChain>
</file>

<file path=xl/sharedStrings.xml><?xml version="1.0" encoding="utf-8"?>
<sst xmlns="http://schemas.openxmlformats.org/spreadsheetml/2006/main" count="71" uniqueCount="38">
  <si>
    <t>Marks</t>
  </si>
  <si>
    <t>Result</t>
  </si>
  <si>
    <t>Pass</t>
  </si>
  <si>
    <t>Fail</t>
  </si>
  <si>
    <t>P(Pass)</t>
  </si>
  <si>
    <t>dJ/dt0</t>
  </si>
  <si>
    <t>dJ/dt1</t>
  </si>
  <si>
    <t>L.R</t>
  </si>
  <si>
    <t>Scaled_marks</t>
  </si>
  <si>
    <r>
      <t>t</t>
    </r>
    <r>
      <rPr>
        <sz val="6"/>
        <color theme="1"/>
        <rFont val="Calibri (Body)"/>
      </rPr>
      <t>0</t>
    </r>
  </si>
  <si>
    <r>
      <t>t</t>
    </r>
    <r>
      <rPr>
        <sz val="6"/>
        <color theme="1"/>
        <rFont val="Calibri (Body)"/>
      </rPr>
      <t>1</t>
    </r>
  </si>
  <si>
    <t>z</t>
  </si>
  <si>
    <t>h(x)</t>
  </si>
  <si>
    <t>y</t>
  </si>
  <si>
    <t>error</t>
  </si>
  <si>
    <t>y=1</t>
  </si>
  <si>
    <t>cancer</t>
  </si>
  <si>
    <t>y=0</t>
  </si>
  <si>
    <t>no cancer</t>
  </si>
  <si>
    <t>inf</t>
  </si>
  <si>
    <t>y = 0</t>
  </si>
  <si>
    <t>y = 1</t>
  </si>
  <si>
    <t>-ln(h(x))</t>
  </si>
  <si>
    <t>-ln(1-h(x))</t>
  </si>
  <si>
    <t>-ln(h(x))*1</t>
  </si>
  <si>
    <t>-y*ln(h(x))</t>
  </si>
  <si>
    <t>-ln(1-h(x))*1</t>
  </si>
  <si>
    <t>-ln(1-h(x))*(1-0)</t>
  </si>
  <si>
    <t>-(1-y)*ln(1-h(x))</t>
  </si>
  <si>
    <t>-yln(h(x))-(1-y)*ln(1-h(x))</t>
  </si>
  <si>
    <t>-(y*ln(h(x))+((1-y)*(ln(1-h(x))))</t>
  </si>
  <si>
    <t>1/(1+exp(-(to+(t1*x)))</t>
  </si>
  <si>
    <t>entropy loss</t>
  </si>
  <si>
    <r>
      <t>U_t</t>
    </r>
    <r>
      <rPr>
        <sz val="6"/>
        <color theme="1"/>
        <rFont val="Calibri (Body)"/>
      </rPr>
      <t>0</t>
    </r>
  </si>
  <si>
    <r>
      <t>U_t</t>
    </r>
    <r>
      <rPr>
        <sz val="6"/>
        <color theme="1"/>
        <rFont val="Calibri (Body)"/>
      </rPr>
      <t>1</t>
    </r>
  </si>
  <si>
    <t>pred-act</t>
  </si>
  <si>
    <t>(pred-act)*x</t>
  </si>
  <si>
    <t>p(pass)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</si>
</sst>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6"/>
      <color theme="1"/>
      <name val="Calibri (Body)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0" fontId="0" fillId="2" borderId="1" xfId="0" applyFill="1" applyBorder="1"/>
    <xf numFmtId="0" fontId="1" fillId="2" borderId="1" xfId="0" applyFont="1" applyFill="1" applyBorder="1"/>
    <xf numFmtId="0" fontId="1" fillId="2" borderId="2" xfId="0" applyFont="1" applyFill="1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7FBD1-B824-D944-A4EF-63C16BA182B9}">
  <sheetPr codeName="Sheet1"/>
  <dimension ref="A1:P21"/>
  <sheetViews>
    <sheetView tabSelected="1" topLeftCell="C1" zoomScale="183" workbookViewId="0">
      <selection activeCell="L2" sqref="L2:M2"/>
    </sheetView>
  </sheetViews>
  <sheetFormatPr baseColWidth="10" defaultRowHeight="16" x14ac:dyDescent="0.2"/>
  <cols>
    <col min="1" max="2" width="0" hidden="1" customWidth="1"/>
    <col min="3" max="3" width="12.5" bestFit="1" customWidth="1"/>
    <col min="5" max="5" width="10.83203125" customWidth="1"/>
    <col min="10" max="10" width="3.1640625" customWidth="1"/>
    <col min="11" max="11" width="11.1640625" bestFit="1" customWidth="1"/>
    <col min="12" max="12" width="10.1640625" customWidth="1"/>
    <col min="13" max="13" width="9.6640625" customWidth="1"/>
  </cols>
  <sheetData>
    <row r="1" spans="1:16" x14ac:dyDescent="0.2">
      <c r="A1" s="3" t="s">
        <v>0</v>
      </c>
      <c r="B1" s="3" t="s">
        <v>1</v>
      </c>
      <c r="C1" s="3" t="s">
        <v>8</v>
      </c>
      <c r="D1" s="3" t="s">
        <v>4</v>
      </c>
      <c r="E1" s="3" t="s">
        <v>11</v>
      </c>
      <c r="F1" s="4" t="s">
        <v>12</v>
      </c>
      <c r="G1" s="4" t="s">
        <v>14</v>
      </c>
      <c r="H1" s="4" t="s">
        <v>35</v>
      </c>
      <c r="I1" s="3" t="s">
        <v>36</v>
      </c>
      <c r="K1" s="3" t="s">
        <v>32</v>
      </c>
      <c r="L1" s="2" t="s">
        <v>9</v>
      </c>
      <c r="M1" s="2" t="s">
        <v>10</v>
      </c>
      <c r="N1" s="3" t="s">
        <v>5</v>
      </c>
      <c r="O1" s="3" t="s">
        <v>6</v>
      </c>
      <c r="P1" s="4" t="s">
        <v>7</v>
      </c>
    </row>
    <row r="2" spans="1:16" x14ac:dyDescent="0.2">
      <c r="A2" s="1">
        <v>86</v>
      </c>
      <c r="B2" s="1" t="s">
        <v>2</v>
      </c>
      <c r="C2" s="1">
        <f>A2/100</f>
        <v>0.86</v>
      </c>
      <c r="D2" s="1">
        <f>IF(B2="Pass", 1, 0)</f>
        <v>1</v>
      </c>
      <c r="E2" s="1">
        <f>$L$2+($M$2*C2)</f>
        <v>5.4226692543797554</v>
      </c>
      <c r="F2" s="1">
        <f>1/(1+EXP(-E2))</f>
        <v>0.99560406434872717</v>
      </c>
      <c r="G2" s="1">
        <f>-((D2*LN(F2))+((1-D2)*LN(1-F2)))</f>
        <v>4.4056261861376142E-3</v>
      </c>
      <c r="H2" s="1">
        <f>F2-D2</f>
        <v>-4.3959356512728309E-3</v>
      </c>
      <c r="I2" s="1">
        <f>H2*C2</f>
        <v>-3.7805046600946344E-3</v>
      </c>
      <c r="K2" s="1">
        <f>AVERAGE(G2:G21)</f>
        <v>0.10610855362832053</v>
      </c>
      <c r="L2" s="1">
        <v>-7.9128945342109684</v>
      </c>
      <c r="M2" s="1">
        <v>15.506469521617122</v>
      </c>
      <c r="N2" s="1">
        <f>AVERAGE(H2:H21)</f>
        <v>2.5842591370061644E-3</v>
      </c>
      <c r="O2" s="1">
        <f>AVERAGE(I2:I21)</f>
        <v>-4.9861536249826525E-3</v>
      </c>
      <c r="P2">
        <v>0.1</v>
      </c>
    </row>
    <row r="3" spans="1:16" x14ac:dyDescent="0.2">
      <c r="A3" s="1">
        <v>82</v>
      </c>
      <c r="B3" s="1" t="s">
        <v>2</v>
      </c>
      <c r="C3" s="1">
        <f t="shared" ref="C3:C21" si="0">A3/100</f>
        <v>0.82</v>
      </c>
      <c r="D3" s="1">
        <f t="shared" ref="D3:D21" si="1">IF(B3="Pass", 1, 0)</f>
        <v>1</v>
      </c>
      <c r="E3" s="1">
        <f t="shared" ref="E3:E21" si="2">$L$2+($M$2*C3)</f>
        <v>4.8024104735150708</v>
      </c>
      <c r="F3" s="1">
        <f t="shared" ref="F3:F21" si="3">1/(1+EXP(-E3))</f>
        <v>0.99185692078610921</v>
      </c>
      <c r="G3" s="1">
        <f t="shared" ref="G3:G21" si="4">-((D3*LN(F3))+((1-D3)*LN(1-F3)))</f>
        <v>8.1764151783739487E-3</v>
      </c>
      <c r="H3" s="1">
        <f t="shared" ref="H3:H21" si="5">F3-D3</f>
        <v>-8.1430792138907915E-3</v>
      </c>
      <c r="I3" s="1">
        <f t="shared" ref="I3:I21" si="6">H3*C3</f>
        <v>-6.6773249553904483E-3</v>
      </c>
    </row>
    <row r="4" spans="1:16" x14ac:dyDescent="0.2">
      <c r="A4" s="1">
        <v>23</v>
      </c>
      <c r="B4" s="1" t="s">
        <v>3</v>
      </c>
      <c r="C4" s="1">
        <f t="shared" si="0"/>
        <v>0.23</v>
      </c>
      <c r="D4" s="1">
        <f t="shared" si="1"/>
        <v>0</v>
      </c>
      <c r="E4" s="1">
        <f t="shared" si="2"/>
        <v>-4.3464065442390307</v>
      </c>
      <c r="F4" s="1">
        <f t="shared" si="3"/>
        <v>1.2787634315154998E-2</v>
      </c>
      <c r="G4" s="1">
        <f t="shared" si="4"/>
        <v>1.2870099891589756E-2</v>
      </c>
      <c r="H4" s="1">
        <f t="shared" si="5"/>
        <v>1.2787634315154998E-2</v>
      </c>
      <c r="I4" s="1">
        <f t="shared" si="6"/>
        <v>2.9411558924856496E-3</v>
      </c>
      <c r="L4" t="s">
        <v>33</v>
      </c>
      <c r="M4" t="s">
        <v>34</v>
      </c>
    </row>
    <row r="5" spans="1:16" x14ac:dyDescent="0.2">
      <c r="A5" s="1">
        <v>4</v>
      </c>
      <c r="B5" s="1" t="s">
        <v>3</v>
      </c>
      <c r="C5" s="1">
        <f t="shared" si="0"/>
        <v>0.04</v>
      </c>
      <c r="D5" s="1">
        <f t="shared" si="1"/>
        <v>0</v>
      </c>
      <c r="E5" s="1">
        <f t="shared" si="2"/>
        <v>-7.2926357533462838</v>
      </c>
      <c r="F5" s="1">
        <f t="shared" si="3"/>
        <v>6.8006916355111498E-4</v>
      </c>
      <c r="G5" s="1">
        <f t="shared" si="4"/>
        <v>6.8030051548088443E-4</v>
      </c>
      <c r="H5" s="1">
        <f t="shared" si="5"/>
        <v>6.8006916355111498E-4</v>
      </c>
      <c r="I5" s="1">
        <f t="shared" si="6"/>
        <v>2.7202766542044599E-5</v>
      </c>
      <c r="L5">
        <f>L2-(P2*N2)</f>
        <v>-7.9131529601246688</v>
      </c>
      <c r="M5">
        <f>M2-(P2*O2)</f>
        <v>15.506968136979621</v>
      </c>
    </row>
    <row r="6" spans="1:16" x14ac:dyDescent="0.2">
      <c r="A6" s="1">
        <v>12</v>
      </c>
      <c r="B6" s="1" t="s">
        <v>3</v>
      </c>
      <c r="C6" s="1">
        <f t="shared" si="0"/>
        <v>0.12</v>
      </c>
      <c r="D6" s="1">
        <f t="shared" si="1"/>
        <v>0</v>
      </c>
      <c r="E6" s="1">
        <f t="shared" si="2"/>
        <v>-6.0521181916169136</v>
      </c>
      <c r="F6" s="1">
        <f t="shared" si="3"/>
        <v>2.3473498728969074E-3</v>
      </c>
      <c r="G6" s="1">
        <f t="shared" si="4"/>
        <v>2.3501092175537116E-3</v>
      </c>
      <c r="H6" s="1">
        <f t="shared" si="5"/>
        <v>2.3473498728969074E-3</v>
      </c>
      <c r="I6" s="1">
        <f t="shared" si="6"/>
        <v>2.8168198474762886E-4</v>
      </c>
    </row>
    <row r="7" spans="1:16" x14ac:dyDescent="0.2">
      <c r="A7" s="1">
        <v>71</v>
      </c>
      <c r="B7" s="1" t="s">
        <v>2</v>
      </c>
      <c r="C7" s="1">
        <f t="shared" si="0"/>
        <v>0.71</v>
      </c>
      <c r="D7" s="1">
        <f t="shared" si="1"/>
        <v>1</v>
      </c>
      <c r="E7" s="1">
        <f t="shared" si="2"/>
        <v>3.0966988261371871</v>
      </c>
      <c r="F7" s="1">
        <f t="shared" si="3"/>
        <v>0.95675636930453312</v>
      </c>
      <c r="G7" s="1">
        <f t="shared" si="4"/>
        <v>4.4206497468766225E-2</v>
      </c>
      <c r="H7" s="1">
        <f t="shared" si="5"/>
        <v>-4.3243630695466884E-2</v>
      </c>
      <c r="I7" s="1">
        <f t="shared" si="6"/>
        <v>-3.0702977793781484E-2</v>
      </c>
    </row>
    <row r="8" spans="1:16" x14ac:dyDescent="0.2">
      <c r="A8" s="1">
        <v>3</v>
      </c>
      <c r="B8" s="1" t="s">
        <v>3</v>
      </c>
      <c r="C8" s="1">
        <f t="shared" si="0"/>
        <v>0.03</v>
      </c>
      <c r="D8" s="1">
        <f t="shared" si="1"/>
        <v>0</v>
      </c>
      <c r="E8" s="1">
        <f t="shared" si="2"/>
        <v>-7.4477004485624549</v>
      </c>
      <c r="F8" s="1">
        <f t="shared" si="3"/>
        <v>5.8244077062918605E-4</v>
      </c>
      <c r="G8" s="1">
        <f t="shared" si="4"/>
        <v>5.8261045514548717E-4</v>
      </c>
      <c r="H8" s="1">
        <f t="shared" si="5"/>
        <v>5.8244077062918605E-4</v>
      </c>
      <c r="I8" s="1">
        <f t="shared" si="6"/>
        <v>1.7473223118875582E-5</v>
      </c>
      <c r="M8" t="s">
        <v>11</v>
      </c>
      <c r="N8" t="s">
        <v>37</v>
      </c>
    </row>
    <row r="9" spans="1:16" x14ac:dyDescent="0.2">
      <c r="A9" s="1">
        <v>72</v>
      </c>
      <c r="B9" s="1" t="s">
        <v>2</v>
      </c>
      <c r="C9" s="1">
        <f t="shared" si="0"/>
        <v>0.72</v>
      </c>
      <c r="D9" s="1">
        <f t="shared" si="1"/>
        <v>1</v>
      </c>
      <c r="E9" s="1">
        <f t="shared" si="2"/>
        <v>3.2517635213533591</v>
      </c>
      <c r="F9" s="1">
        <f t="shared" si="3"/>
        <v>0.96273643063090064</v>
      </c>
      <c r="G9" s="1">
        <f t="shared" si="4"/>
        <v>3.7975600771383865E-2</v>
      </c>
      <c r="H9" s="1">
        <f t="shared" si="5"/>
        <v>-3.7263569369099359E-2</v>
      </c>
      <c r="I9" s="1">
        <f t="shared" si="6"/>
        <v>-2.6829769945751536E-2</v>
      </c>
      <c r="K9">
        <v>37</v>
      </c>
      <c r="L9">
        <f>K9/100</f>
        <v>0.37</v>
      </c>
      <c r="M9">
        <f>$L$5+($M$5*L9)</f>
        <v>-2.1755747494422089</v>
      </c>
      <c r="N9">
        <f>1/(1+EXP(-M9))</f>
        <v>0.10196542821528524</v>
      </c>
    </row>
    <row r="10" spans="1:16" x14ac:dyDescent="0.2">
      <c r="A10" s="1">
        <v>59</v>
      </c>
      <c r="B10" s="1" t="s">
        <v>2</v>
      </c>
      <c r="C10" s="1">
        <f t="shared" si="0"/>
        <v>0.59</v>
      </c>
      <c r="D10" s="1">
        <f t="shared" si="1"/>
        <v>1</v>
      </c>
      <c r="E10" s="1">
        <f t="shared" si="2"/>
        <v>1.2359224835431331</v>
      </c>
      <c r="F10" s="1">
        <f t="shared" si="3"/>
        <v>0.77485346611224393</v>
      </c>
      <c r="G10" s="1">
        <f t="shared" si="4"/>
        <v>0.2550813434901088</v>
      </c>
      <c r="H10" s="1">
        <f t="shared" si="5"/>
        <v>-0.22514653388775607</v>
      </c>
      <c r="I10" s="1">
        <f t="shared" si="6"/>
        <v>-0.13283645499377608</v>
      </c>
      <c r="K10">
        <v>68</v>
      </c>
      <c r="L10">
        <f t="shared" ref="L10:L11" si="7">K10/100</f>
        <v>0.68</v>
      </c>
      <c r="M10">
        <f t="shared" ref="M10:M11" si="8">$L$5+($M$5*L10)</f>
        <v>2.6315853730214736</v>
      </c>
      <c r="N10">
        <f t="shared" ref="N10:N11" si="9">1/(1+EXP(-M10))</f>
        <v>0.93286690353105195</v>
      </c>
    </row>
    <row r="11" spans="1:16" x14ac:dyDescent="0.2">
      <c r="A11" s="1">
        <v>77</v>
      </c>
      <c r="B11" s="1" t="s">
        <v>2</v>
      </c>
      <c r="C11" s="1">
        <f t="shared" si="0"/>
        <v>0.77</v>
      </c>
      <c r="D11" s="1">
        <f t="shared" si="1"/>
        <v>1</v>
      </c>
      <c r="E11" s="1">
        <f t="shared" si="2"/>
        <v>4.0270869974342158</v>
      </c>
      <c r="F11" s="1">
        <f t="shared" si="3"/>
        <v>0.9824860251958194</v>
      </c>
      <c r="G11" s="1">
        <f t="shared" si="4"/>
        <v>1.7669159059146591E-2</v>
      </c>
      <c r="H11" s="1">
        <f t="shared" si="5"/>
        <v>-1.7513974804180599E-2</v>
      </c>
      <c r="I11" s="1">
        <f t="shared" si="6"/>
        <v>-1.3485760599219061E-2</v>
      </c>
      <c r="K11">
        <v>57</v>
      </c>
      <c r="L11">
        <f t="shared" si="7"/>
        <v>0.56999999999999995</v>
      </c>
      <c r="M11">
        <f t="shared" si="8"/>
        <v>0.92581887795371376</v>
      </c>
      <c r="N11">
        <f t="shared" si="9"/>
        <v>0.71622625711793586</v>
      </c>
    </row>
    <row r="12" spans="1:16" x14ac:dyDescent="0.2">
      <c r="A12" s="1">
        <v>75</v>
      </c>
      <c r="B12" s="1" t="s">
        <v>2</v>
      </c>
      <c r="C12" s="1">
        <f t="shared" si="0"/>
        <v>0.75</v>
      </c>
      <c r="D12" s="1">
        <f t="shared" si="1"/>
        <v>1</v>
      </c>
      <c r="E12" s="1">
        <f t="shared" si="2"/>
        <v>3.7169576070018735</v>
      </c>
      <c r="F12" s="1">
        <f t="shared" si="3"/>
        <v>0.97626903832234113</v>
      </c>
      <c r="G12" s="1">
        <f t="shared" si="4"/>
        <v>2.4017076535841033E-2</v>
      </c>
      <c r="H12" s="1">
        <f t="shared" si="5"/>
        <v>-2.3730961677658868E-2</v>
      </c>
      <c r="I12" s="1">
        <f t="shared" si="6"/>
        <v>-1.7798221258244151E-2</v>
      </c>
    </row>
    <row r="13" spans="1:16" x14ac:dyDescent="0.2">
      <c r="A13" s="1">
        <v>97</v>
      </c>
      <c r="B13" s="1" t="s">
        <v>2</v>
      </c>
      <c r="C13" s="1">
        <f t="shared" si="0"/>
        <v>0.97</v>
      </c>
      <c r="D13" s="1">
        <f t="shared" si="1"/>
        <v>1</v>
      </c>
      <c r="E13" s="1">
        <f t="shared" si="2"/>
        <v>7.1283809017576392</v>
      </c>
      <c r="F13" s="1">
        <f t="shared" si="3"/>
        <v>0.99919862583466212</v>
      </c>
      <c r="G13" s="1">
        <f t="shared" si="4"/>
        <v>8.0169543726512694E-4</v>
      </c>
      <c r="H13" s="1">
        <f t="shared" si="5"/>
        <v>-8.0137416533787587E-4</v>
      </c>
      <c r="I13" s="1">
        <f t="shared" si="6"/>
        <v>-7.7733294037773959E-4</v>
      </c>
    </row>
    <row r="14" spans="1:16" x14ac:dyDescent="0.2">
      <c r="A14" s="1">
        <v>42</v>
      </c>
      <c r="B14" s="1" t="s">
        <v>3</v>
      </c>
      <c r="C14" s="1">
        <f t="shared" si="0"/>
        <v>0.42</v>
      </c>
      <c r="D14" s="1">
        <f t="shared" si="1"/>
        <v>0</v>
      </c>
      <c r="E14" s="1">
        <f t="shared" si="2"/>
        <v>-1.4001773351317777</v>
      </c>
      <c r="F14" s="1">
        <f t="shared" si="3"/>
        <v>0.19778797254218575</v>
      </c>
      <c r="G14" s="1">
        <f t="shared" si="4"/>
        <v>0.22038233266731297</v>
      </c>
      <c r="H14" s="1">
        <f t="shared" si="5"/>
        <v>0.19778797254218575</v>
      </c>
      <c r="I14" s="1">
        <f t="shared" si="6"/>
        <v>8.3070948467718009E-2</v>
      </c>
    </row>
    <row r="15" spans="1:16" x14ac:dyDescent="0.2">
      <c r="A15" s="1">
        <v>78</v>
      </c>
      <c r="B15" s="1" t="s">
        <v>2</v>
      </c>
      <c r="C15" s="1">
        <f t="shared" si="0"/>
        <v>0.78</v>
      </c>
      <c r="D15" s="1">
        <f t="shared" si="1"/>
        <v>1</v>
      </c>
      <c r="E15" s="1">
        <f t="shared" si="2"/>
        <v>4.1821516926503879</v>
      </c>
      <c r="F15" s="1">
        <f t="shared" si="3"/>
        <v>0.98496391004534756</v>
      </c>
      <c r="G15" s="1">
        <f t="shared" si="4"/>
        <v>1.5150278029163302E-2</v>
      </c>
      <c r="H15" s="1">
        <f t="shared" si="5"/>
        <v>-1.5036089954652443E-2</v>
      </c>
      <c r="I15" s="1">
        <f t="shared" si="6"/>
        <v>-1.1728150164628906E-2</v>
      </c>
    </row>
    <row r="16" spans="1:16" x14ac:dyDescent="0.2">
      <c r="A16" s="1">
        <v>38</v>
      </c>
      <c r="B16" s="1" t="s">
        <v>3</v>
      </c>
      <c r="C16" s="1">
        <f t="shared" si="0"/>
        <v>0.38</v>
      </c>
      <c r="D16" s="1">
        <f t="shared" si="1"/>
        <v>0</v>
      </c>
      <c r="E16" s="1">
        <f t="shared" si="2"/>
        <v>-2.0204361159964623</v>
      </c>
      <c r="F16" s="1">
        <f t="shared" si="3"/>
        <v>0.11707390308107406</v>
      </c>
      <c r="G16" s="1">
        <f t="shared" si="4"/>
        <v>0.12451377732939148</v>
      </c>
      <c r="H16" s="1">
        <f t="shared" si="5"/>
        <v>0.11707390308107406</v>
      </c>
      <c r="I16" s="1">
        <f t="shared" si="6"/>
        <v>4.4488083170808143E-2</v>
      </c>
    </row>
    <row r="17" spans="1:9" x14ac:dyDescent="0.2">
      <c r="A17" s="1">
        <v>52</v>
      </c>
      <c r="B17" s="1" t="s">
        <v>2</v>
      </c>
      <c r="C17" s="1">
        <f t="shared" si="0"/>
        <v>0.52</v>
      </c>
      <c r="D17" s="1">
        <f t="shared" si="1"/>
        <v>1</v>
      </c>
      <c r="E17" s="1">
        <f t="shared" si="2"/>
        <v>0.15046961702993578</v>
      </c>
      <c r="F17" s="1">
        <f t="shared" si="3"/>
        <v>0.5375465896166699</v>
      </c>
      <c r="G17" s="1">
        <f t="shared" si="4"/>
        <v>0.62073984438007568</v>
      </c>
      <c r="H17" s="1">
        <f t="shared" si="5"/>
        <v>-0.4624534103833301</v>
      </c>
      <c r="I17" s="1">
        <f t="shared" si="6"/>
        <v>-0.24047577339933165</v>
      </c>
    </row>
    <row r="18" spans="1:9" x14ac:dyDescent="0.2">
      <c r="A18" s="1">
        <v>40</v>
      </c>
      <c r="B18" s="1" t="s">
        <v>3</v>
      </c>
      <c r="C18" s="1">
        <f t="shared" si="0"/>
        <v>0.4</v>
      </c>
      <c r="D18" s="1">
        <f t="shared" si="1"/>
        <v>0</v>
      </c>
      <c r="E18" s="1">
        <f t="shared" si="2"/>
        <v>-1.7103067255641191</v>
      </c>
      <c r="F18" s="1">
        <f t="shared" si="3"/>
        <v>0.15312393628314969</v>
      </c>
      <c r="G18" s="1">
        <f t="shared" si="4"/>
        <v>0.1662009188654428</v>
      </c>
      <c r="H18" s="1">
        <f t="shared" si="5"/>
        <v>0.15312393628314969</v>
      </c>
      <c r="I18" s="1">
        <f t="shared" si="6"/>
        <v>6.124957451325988E-2</v>
      </c>
    </row>
    <row r="19" spans="1:9" x14ac:dyDescent="0.2">
      <c r="A19" s="1">
        <v>49</v>
      </c>
      <c r="B19" s="1" t="s">
        <v>3</v>
      </c>
      <c r="C19" s="1">
        <f t="shared" si="0"/>
        <v>0.49</v>
      </c>
      <c r="D19" s="1">
        <f t="shared" si="1"/>
        <v>0</v>
      </c>
      <c r="E19" s="1">
        <f t="shared" si="2"/>
        <v>-0.31472446861857861</v>
      </c>
      <c r="F19" s="1">
        <f t="shared" si="3"/>
        <v>0.42196197054767876</v>
      </c>
      <c r="G19" s="1">
        <f t="shared" si="4"/>
        <v>0.54811561757393923</v>
      </c>
      <c r="H19" s="1">
        <f t="shared" si="5"/>
        <v>0.42196197054767876</v>
      </c>
      <c r="I19" s="1">
        <f t="shared" si="6"/>
        <v>0.20676136556836258</v>
      </c>
    </row>
    <row r="20" spans="1:9" x14ac:dyDescent="0.2">
      <c r="A20" s="1">
        <v>77</v>
      </c>
      <c r="B20" s="1" t="s">
        <v>2</v>
      </c>
      <c r="C20" s="1">
        <f t="shared" si="0"/>
        <v>0.77</v>
      </c>
      <c r="D20" s="1">
        <f t="shared" si="1"/>
        <v>1</v>
      </c>
      <c r="E20" s="1">
        <f t="shared" si="2"/>
        <v>4.0270869974342158</v>
      </c>
      <c r="F20" s="1">
        <f t="shared" si="3"/>
        <v>0.9824860251958194</v>
      </c>
      <c r="G20" s="1">
        <f t="shared" si="4"/>
        <v>1.7669159059146591E-2</v>
      </c>
      <c r="H20" s="1">
        <f t="shared" si="5"/>
        <v>-1.7513974804180599E-2</v>
      </c>
      <c r="I20" s="1">
        <f t="shared" si="6"/>
        <v>-1.3485760599219061E-2</v>
      </c>
    </row>
    <row r="21" spans="1:9" x14ac:dyDescent="0.2">
      <c r="A21" s="1">
        <v>3</v>
      </c>
      <c r="B21" s="1" t="s">
        <v>3</v>
      </c>
      <c r="C21" s="1">
        <f t="shared" si="0"/>
        <v>0.03</v>
      </c>
      <c r="D21" s="1">
        <f t="shared" si="1"/>
        <v>0</v>
      </c>
      <c r="E21" s="1">
        <f t="shared" si="2"/>
        <v>-7.4477004485624549</v>
      </c>
      <c r="F21" s="1">
        <f t="shared" si="3"/>
        <v>5.8244077062918605E-4</v>
      </c>
      <c r="G21" s="1">
        <f t="shared" si="4"/>
        <v>5.8261045514548717E-4</v>
      </c>
      <c r="H21" s="1">
        <f t="shared" si="5"/>
        <v>5.8244077062918605E-4</v>
      </c>
      <c r="I21" s="1">
        <f t="shared" si="6"/>
        <v>1.7473223118875582E-5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51814-8227-AB45-85A6-558E82400F3F}">
  <sheetPr codeName="Sheet2"/>
  <dimension ref="A1:L14"/>
  <sheetViews>
    <sheetView topLeftCell="E1" zoomScale="292" workbookViewId="0">
      <selection activeCell="J9" sqref="J9"/>
    </sheetView>
  </sheetViews>
  <sheetFormatPr baseColWidth="10" defaultRowHeight="16" x14ac:dyDescent="0.2"/>
  <cols>
    <col min="5" max="5" width="12.1640625" bestFit="1" customWidth="1"/>
    <col min="12" max="12" width="14.5" bestFit="1" customWidth="1"/>
  </cols>
  <sheetData>
    <row r="1" spans="1:12" x14ac:dyDescent="0.2">
      <c r="E1" s="5"/>
      <c r="F1" s="5"/>
    </row>
    <row r="2" spans="1:12" x14ac:dyDescent="0.2">
      <c r="B2" s="1" t="s">
        <v>12</v>
      </c>
      <c r="C2" s="1" t="s">
        <v>13</v>
      </c>
      <c r="D2" s="1" t="s">
        <v>14</v>
      </c>
      <c r="H2" t="s">
        <v>15</v>
      </c>
      <c r="I2" s="7" t="s">
        <v>22</v>
      </c>
      <c r="J2" s="7"/>
      <c r="K2" t="s">
        <v>17</v>
      </c>
      <c r="L2" s="7" t="s">
        <v>26</v>
      </c>
    </row>
    <row r="3" spans="1:12" x14ac:dyDescent="0.2">
      <c r="B3" s="1">
        <v>1</v>
      </c>
      <c r="C3" s="1">
        <v>1</v>
      </c>
      <c r="D3" s="1">
        <v>0</v>
      </c>
      <c r="I3" s="7" t="s">
        <v>24</v>
      </c>
      <c r="J3" s="7"/>
      <c r="L3" s="7" t="s">
        <v>27</v>
      </c>
    </row>
    <row r="4" spans="1:12" x14ac:dyDescent="0.2">
      <c r="B4" s="1">
        <v>0</v>
      </c>
      <c r="C4" s="1">
        <v>0</v>
      </c>
      <c r="D4" s="1">
        <v>0</v>
      </c>
      <c r="F4" t="s">
        <v>15</v>
      </c>
      <c r="G4" t="s">
        <v>16</v>
      </c>
      <c r="I4" s="7" t="s">
        <v>25</v>
      </c>
      <c r="J4" s="7"/>
      <c r="L4" s="7" t="s">
        <v>28</v>
      </c>
    </row>
    <row r="5" spans="1:12" x14ac:dyDescent="0.2">
      <c r="B5" s="1">
        <v>0</v>
      </c>
      <c r="C5" s="1">
        <v>1</v>
      </c>
      <c r="D5" s="1" t="s">
        <v>19</v>
      </c>
      <c r="F5" t="s">
        <v>17</v>
      </c>
      <c r="G5" t="s">
        <v>18</v>
      </c>
    </row>
    <row r="6" spans="1:12" x14ac:dyDescent="0.2">
      <c r="B6" s="1">
        <v>1</v>
      </c>
      <c r="C6" s="1">
        <v>0</v>
      </c>
      <c r="D6" s="1" t="s">
        <v>19</v>
      </c>
      <c r="H6" t="s">
        <v>14</v>
      </c>
      <c r="I6" s="7" t="s">
        <v>29</v>
      </c>
    </row>
    <row r="7" spans="1:12" x14ac:dyDescent="0.2">
      <c r="I7" s="7" t="s">
        <v>30</v>
      </c>
    </row>
    <row r="8" spans="1:12" x14ac:dyDescent="0.2">
      <c r="A8" s="7" t="s">
        <v>23</v>
      </c>
      <c r="B8" s="6" t="s">
        <v>20</v>
      </c>
      <c r="C8" s="6"/>
      <c r="E8" s="6" t="s">
        <v>21</v>
      </c>
      <c r="F8" s="6"/>
      <c r="G8" s="7" t="s">
        <v>22</v>
      </c>
    </row>
    <row r="9" spans="1:12" x14ac:dyDescent="0.2">
      <c r="B9" s="1" t="s">
        <v>12</v>
      </c>
      <c r="C9" s="1" t="s">
        <v>14</v>
      </c>
      <c r="E9" s="1" t="s">
        <v>12</v>
      </c>
      <c r="F9" s="1" t="s">
        <v>14</v>
      </c>
      <c r="I9" t="s">
        <v>12</v>
      </c>
      <c r="J9" s="7" t="s">
        <v>31</v>
      </c>
    </row>
    <row r="10" spans="1:12" x14ac:dyDescent="0.2">
      <c r="B10" s="1">
        <v>0</v>
      </c>
      <c r="C10" s="1">
        <v>0</v>
      </c>
      <c r="E10" s="1">
        <v>1</v>
      </c>
      <c r="F10" s="1">
        <v>0</v>
      </c>
    </row>
    <row r="11" spans="1:12" x14ac:dyDescent="0.2">
      <c r="B11" s="1">
        <v>1</v>
      </c>
      <c r="C11" s="1" t="s">
        <v>19</v>
      </c>
      <c r="E11" s="1">
        <v>0</v>
      </c>
      <c r="F11" s="1" t="s">
        <v>19</v>
      </c>
    </row>
    <row r="13" spans="1:12" x14ac:dyDescent="0.2">
      <c r="E13">
        <v>1</v>
      </c>
      <c r="F13">
        <f>LN(1)</f>
        <v>0</v>
      </c>
    </row>
    <row r="14" spans="1:12" x14ac:dyDescent="0.2">
      <c r="E14">
        <v>9.9999999999999994E-12</v>
      </c>
      <c r="F14">
        <f>LN(E14)</f>
        <v>-25.328436022934504</v>
      </c>
    </row>
  </sheetData>
  <mergeCells count="3">
    <mergeCell ref="E1:F1"/>
    <mergeCell ref="B8:C8"/>
    <mergeCell ref="E8:F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Praneeth Kumar Palepu</dc:creator>
  <cp:lastModifiedBy>Praneeth Kumar Palepu</cp:lastModifiedBy>
  <dcterms:created xsi:type="dcterms:W3CDTF">2024-04-27T09:02:01Z</dcterms:created>
  <dcterms:modified xsi:type="dcterms:W3CDTF">2024-04-27T11:47:36Z</dcterms:modified>
</cp:coreProperties>
</file>